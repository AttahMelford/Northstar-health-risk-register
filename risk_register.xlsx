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GRC Projects\"/>
    </mc:Choice>
  </mc:AlternateContent>
  <xr:revisionPtr revIDLastSave="0" documentId="8_{406D7CFB-399C-433D-970C-4C330157EE90}" xr6:coauthVersionLast="47" xr6:coauthVersionMax="47" xr10:uidLastSave="{00000000-0000-0000-0000-000000000000}"/>
  <bookViews>
    <workbookView xWindow="-120" yWindow="-120" windowWidth="20730" windowHeight="11040" xr2:uid="{B8C7578C-E504-4618-AD03-246F36FA674F}"/>
  </bookViews>
  <sheets>
    <sheet name="Risk Register" sheetId="1" r:id="rId1"/>
    <sheet name="Scoring Gui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<sst xmlns="http://schemas.openxmlformats.org/spreadsheetml/2006/main" count="270" uniqueCount="214">
  <si>
    <t>Risk ID</t>
  </si>
  <si>
    <t>Asset</t>
  </si>
  <si>
    <t>Threat</t>
  </si>
  <si>
    <t>Vulnerability</t>
  </si>
  <si>
    <t>Risk Description</t>
  </si>
  <si>
    <t>Category</t>
  </si>
  <si>
    <t>Likelihood</t>
  </si>
  <si>
    <t>Impact</t>
  </si>
  <si>
    <t>Inherent Risk Score</t>
  </si>
  <si>
    <t>Existing Controls</t>
  </si>
  <si>
    <t>Residual Risk Score</t>
  </si>
  <si>
    <t>Risk Owner</t>
  </si>
  <si>
    <t>Treatment Plan</t>
  </si>
  <si>
    <t>NIST CSF 2.0 Reference</t>
  </si>
  <si>
    <t>Status</t>
  </si>
  <si>
    <t>R-001</t>
  </si>
  <si>
    <t>47 medical IoT devices</t>
  </si>
  <si>
    <t>Cybercriminal exploiting known device weaknesses</t>
  </si>
  <si>
    <t>Firmware is outdated and no manufacturer patches have been released in 18 months</t>
  </si>
  <si>
    <t>If an attacker exploits outdated firmware on medical IoT devices, the attacker could compromise device operation or availability, potentially affecting patient care.</t>
  </si>
  <si>
    <t>Cyber</t>
  </si>
  <si>
    <t>No device-specific security control is confirmed; verify vendor support and compensating controls.</t>
  </si>
  <si>
    <t>Medical Device Security Manager</t>
  </si>
  <si>
    <t>Mitigate: inventory devices, obtain vendor risk guidance, apply available mitigations, and plan replacement of unsupported devices.</t>
  </si>
  <si>
    <t>ID.RA-01; PR.PS-02</t>
  </si>
  <si>
    <t>Open</t>
  </si>
  <si>
    <t>R-002</t>
  </si>
  <si>
    <t>Clinical network and systems containing patient records</t>
  </si>
  <si>
    <t>Attacker moving from a compromised medical device to clinical systems</t>
  </si>
  <si>
    <t>Medical devices share a network segment with systems containing patient records</t>
  </si>
  <si>
    <t>If a medical device is compromised on the shared network segment, an attacker could reach systems containing patient records and expose or alter sensitive information.</t>
  </si>
  <si>
    <t>Shared network placement is confirmed; effective segmentation controls are not described and require verification.</t>
  </si>
  <si>
    <t>Network Security Manager</t>
  </si>
  <si>
    <t>Mitigate: segment medical devices from EHR and administrative systems, restrict required traffic, and validate rules through testing.</t>
  </si>
  <si>
    <t>PR.IR-01; ID.AM-03</t>
  </si>
  <si>
    <t>R-003</t>
  </si>
  <si>
    <t>Patient monitors, infusion pumps, and imaging equipment</t>
  </si>
  <si>
    <t>Malware or unauthorized operator manipulating device behavior</t>
  </si>
  <si>
    <t>Device firmware is outdated and device integrity protections are not described</t>
  </si>
  <si>
    <t>If malicious code or an unauthorized user alters a vulnerable medical device, device readings or operation could be disrupted, creating potential patient-safety consequences.</t>
  </si>
  <si>
    <t>Operational</t>
  </si>
  <si>
    <t>No device integrity monitoring or clinical safety control is confirmed; verify with clinical engineering.</t>
  </si>
  <si>
    <t>Clinical Engineering Director</t>
  </si>
  <si>
    <t>Mitigate: coordinate with clinical engineering and vendors, restrict device administration, monitor anomalies, and document safe fallback procedures.</t>
  </si>
  <si>
    <t>PR.PS-02; DE.CM-09</t>
  </si>
  <si>
    <t>R-004</t>
  </si>
  <si>
    <t>Medical IoT device fleet and related clinical services</t>
  </si>
  <si>
    <t>Device failure or exploitation of unsupported technology</t>
  </si>
  <si>
    <t>Patching is unavailable from the manufacturer and lifecycle plans are not described</t>
  </si>
  <si>
    <t>If unsupported devices develop exploitable weaknesses or fail, Northstar may be unable to remediate them promptly, causing prolonged outages or unsafe care workflows.</t>
  </si>
  <si>
    <t>No documented replacement or exception process is confirmed; verify lifecycle records and vendor support status.</t>
  </si>
  <si>
    <t>IT Infrastructure Manager</t>
  </si>
  <si>
    <t>Mitigate: establish a documented exception, compensating-control, and replacement plan with clinical leadership and procurement.</t>
  </si>
  <si>
    <t>ID.AM-08; GV.RM-05</t>
  </si>
  <si>
    <t>R-005</t>
  </si>
  <si>
    <t>Hospital user accounts and clinical applications</t>
  </si>
  <si>
    <t>Attacker using stolen or guessed credentials</t>
  </si>
  <si>
    <t>One hospital permits eight-character passwords and does not require MFA</t>
  </si>
  <si>
    <t>If an attacker obtains or guesses credentials for accounts protected by weaker authentication, the attacker could access clinical applications or patient information without authorization.</t>
  </si>
  <si>
    <t>A 12-character password and MFA requirement exists at one hospital; another hospital's weaker policy is confirmed. Coverage elsewhere requires verification.</t>
  </si>
  <si>
    <t>Identity and Access Management Manager</t>
  </si>
  <si>
    <t>Mitigate: establish an enterprise authentication standard, require MFA for access, and enforce password controls across all facilities.</t>
  </si>
  <si>
    <t>PR.AA-03; GV.PO-01</t>
  </si>
  <si>
    <t>R-006</t>
  </si>
  <si>
    <t>User accounts and systems across four hospitals</t>
  </si>
  <si>
    <t>Unauthorized access caused by inconsistent security practices</t>
  </si>
  <si>
    <t>Each hospital follows a different password policy and one has no documented policy</t>
  </si>
  <si>
    <t>If security requirements remain inconsistent, accounts may receive uneven protection, allowing attackers to exploit the weakest facility and access shared resources.</t>
  </si>
  <si>
    <t>Some controls exist at one hospital, but a network-wide approved standard is not confirmed.</t>
  </si>
  <si>
    <t>CISO</t>
  </si>
  <si>
    <t>Mitigate: approve and publish one organization-wide authentication policy, implement technical enforcement, and track exceptions.</t>
  </si>
  <si>
    <t>GV.PO-01; PR.AA-01</t>
  </si>
  <si>
    <t>R-007</t>
  </si>
  <si>
    <t>Regional clinic systems using shared logins</t>
  </si>
  <si>
    <t>Insider misuse or an external user using shared credentials</t>
  </si>
  <si>
    <t>Some systems use shared logins, preventing reliable attribution to an individual</t>
  </si>
  <si>
    <t>If a shared account is misused, Northstar may be unable to identify the responsible user, delaying investigation and weakening accountability for changes to patient information.</t>
  </si>
  <si>
    <t>Compliance</t>
  </si>
  <si>
    <t>Shared logins are confirmed; individual account attribution and compensating logs are not described.</t>
  </si>
  <si>
    <t>Regional Clinic Manager</t>
  </si>
  <si>
    <t>Mitigate: replace shared logins with named accounts, apply role-based access, and review access and audit logs.</t>
  </si>
  <si>
    <t>PR.AA-05; PR.PS-04</t>
  </si>
  <si>
    <t>R-008</t>
  </si>
  <si>
    <t>Patient records and clinical application accounts</t>
  </si>
  <si>
    <t>Credential theft or unauthorized account use</t>
  </si>
  <si>
    <t>MFA is absent at one hospital and policy coverage is inconsistent</t>
  </si>
  <si>
    <t>If credentials are phished or stolen, the lack of consistent MFA could allow unauthorized access to patient records, creating privacy, operational, and regulatory consequences.</t>
  </si>
  <si>
    <t>MFA is confirmed at one hospital but absent at another; coverage at the remaining facilities requires verification.</t>
  </si>
  <si>
    <t>Privacy Officer</t>
  </si>
  <si>
    <t>Mitigate: deploy MFA across in-scope systems, prioritize remote and privileged access, and monitor authentication failures.</t>
  </si>
  <si>
    <t>PR.AA-03; DE.CM-03</t>
  </si>
  <si>
    <t>R-009</t>
  </si>
  <si>
    <t>Incident response process and security reporting channels</t>
  </si>
  <si>
    <t>Ransomware or another cybersecurity incident escalating without timely action</t>
  </si>
  <si>
    <t>No documented incident response plan or clear contact and escalation instructions</t>
  </si>
  <si>
    <t>If an incident occurs without defined reporting and escalation steps, staff may delay notifying responders, increasing the time an attacker can operate and the resulting damage.</t>
  </si>
  <si>
    <t>The scenario confirms no documented incident response plan; other informal response procedures require verification.</t>
  </si>
  <si>
    <t>Mitigate: create and approve an incident response plan with severity levels, contacts, escalation paths, and staff training.</t>
  </si>
  <si>
    <t>RS.MA-01; GV.PO-01</t>
  </si>
  <si>
    <t>R-010</t>
  </si>
  <si>
    <t>Clinical systems and network services</t>
  </si>
  <si>
    <t>Ransomware spreading before containment</t>
  </si>
  <si>
    <t>Staff lack documented containment roles and procedures</t>
  </si>
  <si>
    <t>If responders cannot coordinate containment promptly, ransomware or another incident could spread across facilities and prolong disruption to clinical services.</t>
  </si>
  <si>
    <t>A prior response took 72 hours to coordinate; effective containment procedures are not confirmed.</t>
  </si>
  <si>
    <t>Incident Response Manager</t>
  </si>
  <si>
    <t>Mitigate: define isolation authority and playbooks, conduct tabletop exercises, and test cross-facility communications.</t>
  </si>
  <si>
    <t>RS.MA-02; RS.MI-01</t>
  </si>
  <si>
    <t>R-011</t>
  </si>
  <si>
    <t>Patient care operations and critical IT services</t>
  </si>
  <si>
    <t>Major cyber incident causing extended service outage</t>
  </si>
  <si>
    <t>Response coordination previously took 72 hours and recovery arrangements are not described</t>
  </si>
  <si>
    <t>If response and recovery activities are delayed during a major incident, clinicians may lose access to essential systems for an extended period, disrupting patient care and business operations.</t>
  </si>
  <si>
    <t>The 72-hour coordination delay is described; tested downtime and recovery procedures require verification.</t>
  </si>
  <si>
    <t>Hospital Operations Director</t>
  </si>
  <si>
    <t>Mitigate: define clinical downtime procedures, recovery priorities, decision authority, and exercises with hospital leadership.</t>
  </si>
  <si>
    <t>RC.RP-01; RS.MA-01</t>
  </si>
  <si>
    <t>R-012</t>
  </si>
  <si>
    <t>Regulated patient information and incident-notification process</t>
  </si>
  <si>
    <t>Regulator or affected-party notification deadlines being missed</t>
  </si>
  <si>
    <t>Staff do not know when regulators need to be notified and no response plan documents responsibilities</t>
  </si>
  <si>
    <t>If an incident involving reportable information is not escalated to privacy and legal personnel promptly, required notifications could be delayed or missed, creating compliance and reputational consequences.</t>
  </si>
  <si>
    <t>No documented notification decision process is confirmed; existing legal/privacy procedures require verification.</t>
  </si>
  <si>
    <t>Mitigate: document incident-notification decision points, assign legal/privacy owners, maintain a notification checklist, and exercise the workflow.</t>
  </si>
  <si>
    <t>RS.CO-02; GV.OV-03</t>
  </si>
  <si>
    <t>R-013</t>
  </si>
  <si>
    <t>Production systems across four hospitals</t>
  </si>
  <si>
    <t>Compromised or malicious administrator changing systems</t>
  </si>
  <si>
    <t>One administrator has root access across all hospitals and no PAM solution is in place</t>
  </si>
  <si>
    <t>If the single administrator account is compromised or misused, an attacker or individual could make broad unauthorized changes across production systems, affecting confidentiality, integrity, and availability.</t>
  </si>
  <si>
    <t>A single administrator with broad root access and no PAM are confirmed; other access controls require verification.</t>
  </si>
  <si>
    <t>Mitigate: reduce standing privileges, separate administrative accounts, implement PAM and MFA, and review privileged access regularly.</t>
  </si>
  <si>
    <t>PR.AA-05; PR.AA-03</t>
  </si>
  <si>
    <t>R-014</t>
  </si>
  <si>
    <t>EHR system and patient records</t>
  </si>
  <si>
    <t>Attacker using stolen privileged credentials</t>
  </si>
  <si>
    <t>Administrator privileged accounts do not use MFA</t>
  </si>
  <si>
    <t>If an attacker steals the administrator's credentials, the absence of MFA could enable privileged access to the EHR and unauthorized viewing or alteration of patient records.</t>
  </si>
  <si>
    <t>Privileged-account MFA is explicitly absent; additional authentication safeguards are not described.</t>
  </si>
  <si>
    <t>EHR System Owner</t>
  </si>
  <si>
    <t>Mitigate: require phishing-resistant MFA for privileged access, monitor administrative sessions, and alert on unusual activity.</t>
  </si>
  <si>
    <t>R-015</t>
  </si>
  <si>
    <t>Billing system and patient payment-card data</t>
  </si>
  <si>
    <t>Attacker or administrator misuse exposing payment information</t>
  </si>
  <si>
    <t>The administrator has root access to the billing system and privileged access safeguards are not described</t>
  </si>
  <si>
    <t>If privileged access to the billing system is compromised or misused, payment data or billing operations could be exposed or altered, potentially causing financial loss and compliance obligations.</t>
  </si>
  <si>
    <t>Broad administrator access is confirmed; payment-system segmentation and access monitoring require verification.</t>
  </si>
  <si>
    <t>Billing System Owner</t>
  </si>
  <si>
    <t>Mitigate: restrict and review billing privileges, enforce MFA, log administrative activity, and validate payment-environment safeguards.</t>
  </si>
  <si>
    <t>R-016</t>
  </si>
  <si>
    <t>Backup infrastructure for all four hospitals</t>
  </si>
  <si>
    <t>Ransomware operator or malicious administrator deleting or encrypting backups</t>
  </si>
  <si>
    <t>The same administrator has root access to backup infrastructure and backup protection controls are not described</t>
  </si>
  <si>
    <t>If an attacker gains the administrator's privileges, backups could be altered or destroyed, preventing timely restoration after a cyber incident.</t>
  </si>
  <si>
    <t>Broad administrator access to backup infrastructure is confirmed; immutability, separation, and restoration testing require verification.</t>
  </si>
  <si>
    <t>Backup and Recovery Manager</t>
  </si>
  <si>
    <t>Mitigate: separate backup administration, use immutable/offline copies, enforce MFA, and test restoration on a documented schedule.</t>
  </si>
  <si>
    <t>PR.DS-11; RC.RP-03</t>
  </si>
  <si>
    <t>R-017</t>
  </si>
  <si>
    <t>Paper consent forms containing sensitive patient information</t>
  </si>
  <si>
    <t>Unauthorized person viewing or taking patient records</t>
  </si>
  <si>
    <t>Consent forms are stored in unlocked filing cabinets</t>
  </si>
  <si>
    <t>If an unauthorized person accesses unlocked cabinets, patient identifiers and medical-condition information could be disclosed, creating privacy harm and compliance exposure.</t>
  </si>
  <si>
    <t>Unlocked filing cabinets are confirmed; other physical access controls require verification.</t>
  </si>
  <si>
    <t>Mitigate: store forms in locked cabinets within restricted areas and limit key access to authorized personnel.</t>
  </si>
  <si>
    <t>PR.DS-01; PR.AA-05</t>
  </si>
  <si>
    <t>R-018</t>
  </si>
  <si>
    <t>Paper consent forms and patient documentation</t>
  </si>
  <si>
    <t>Fire, water damage, misplacement, or accidental destruction</t>
  </si>
  <si>
    <t>Paper records have no described backup or secure off-site preservation process</t>
  </si>
  <si>
    <t>If paper consent forms are lost or damaged, the clinic may be unable to demonstrate consent or retrieve important documentation when needed for care or a dispute.</t>
  </si>
  <si>
    <t>No backup or preservation control is described; retention and recovery practices require verification.</t>
  </si>
  <si>
    <t>Health Information Management Manager</t>
  </si>
  <si>
    <t>Mitigate: establish secure retention and recovery procedures, protect storage areas, and evaluate controlled digitization with appropriate safeguards.</t>
  </si>
  <si>
    <t>PR.DS-01; RC.RP-01</t>
  </si>
  <si>
    <t>R-019</t>
  </si>
  <si>
    <t>Access history for paper consent forms</t>
  </si>
  <si>
    <t>Insider or visitor accessing records without detection</t>
  </si>
  <si>
    <t>There is no access log for the filing cabinets</t>
  </si>
  <si>
    <t>If records are viewed, removed, or altered without a recorded access trail, the clinic may be unable to determine who accessed them or investigate a suspected disclosure.</t>
  </si>
  <si>
    <t>The scenario confirms there is no access log; compensating monitoring is not described.</t>
  </si>
  <si>
    <t>Mitigate: maintain a controlled key/access log, assign custodians, and periodically reconcile access and record inventory.</t>
  </si>
  <si>
    <t>PR.PS-04; PR.AA-05</t>
  </si>
  <si>
    <t>R-020</t>
  </si>
  <si>
    <t>Consent documentation retrieval and retention process</t>
  </si>
  <si>
    <t>Care staff unable to locate required consent documentation</t>
  </si>
  <si>
    <t>Paper-based records are not indexed in a described controlled retrieval process</t>
  </si>
  <si>
    <t>If paper forms are misfiled or difficult to retrieve, staff may be unable to promptly verify consent, delaying workflows or weakening evidence that consent was obtained.</t>
  </si>
  <si>
    <t>A paper-based process is confirmed; indexing, retention, and retrieval controls require verification.</t>
  </si>
  <si>
    <t>Mitigate: introduce a documented indexing and retrieval process, define retention rules, and assess secure digitization with access controls.</t>
  </si>
  <si>
    <t>ID.AM-07; GV.PO-01</t>
  </si>
  <si>
    <t>Score</t>
  </si>
  <si>
    <t>Risk rating</t>
  </si>
  <si>
    <t>Rare</t>
  </si>
  <si>
    <t>Insignificant</t>
  </si>
  <si>
    <t>Low</t>
  </si>
  <si>
    <t>Unlikely</t>
  </si>
  <si>
    <t>Minor</t>
  </si>
  <si>
    <t>Possible</t>
  </si>
  <si>
    <t>Moderate</t>
  </si>
  <si>
    <t>Likely</t>
  </si>
  <si>
    <t>Major</t>
  </si>
  <si>
    <t>Almost Certain</t>
  </si>
  <si>
    <t>Severe</t>
  </si>
  <si>
    <t>6–9</t>
  </si>
  <si>
    <t>—</t>
  </si>
  <si>
    <t>10–16</t>
  </si>
  <si>
    <t>High</t>
  </si>
  <si>
    <t>17–25</t>
  </si>
  <si>
    <t>Critical</t>
  </si>
  <si>
    <t>Inherent Risk Score = Likelihood × Impact.</t>
  </si>
  <si>
    <t>Residual risk is reassessed after considering verified, effective controls.</t>
  </si>
  <si>
    <t>Unknown controls must be verified before they are treated as existing controls.</t>
  </si>
  <si>
    <t>Scores are preliminary estimates for an educational portfolio exercise.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</si>
</sst>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/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Border="1"/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E2E2-9172-4F48-A8BD-60C2D738BDF9}">
  <dimension ref="A1:O21"/>
  <sheetViews>
    <sheetView tabSelected="1" workbookViewId="0">
      <pane ySplit="1" topLeftCell="A4" activePane="bottomLeft" state="frozen"/>
      <selection pane="bottomLeft" activeCell="J25" sqref="J25"/>
    </sheetView>
  </sheetViews>
  <sheetFormatPr defaultRowHeight="15" x14ac:dyDescent="0.25"/>
  <cols>
    <col min="2" max="2" width="58.42578125" bestFit="1" customWidth="1"/>
    <col min="3" max="3" width="74.140625" bestFit="1" customWidth="1"/>
    <col min="4" max="4" width="104.85546875" bestFit="1" customWidth="1"/>
    <col min="5" max="5" width="190" style="4" bestFit="1" customWidth="1"/>
    <col min="6" max="6" width="11.5703125" bestFit="1" customWidth="1"/>
    <col min="7" max="7" width="13.140625" bestFit="1" customWidth="1"/>
    <col min="8" max="8" width="9" bestFit="1" customWidth="1"/>
    <col min="9" max="9" width="23.42578125" bestFit="1" customWidth="1"/>
    <col min="10" max="10" width="143.28515625" bestFit="1" customWidth="1"/>
    <col min="11" max="11" width="23.7109375" bestFit="1" customWidth="1"/>
    <col min="12" max="12" width="38.85546875" bestFit="1" customWidth="1"/>
    <col min="13" max="13" width="137" bestFit="1" customWidth="1"/>
    <col min="14" max="14" width="28" bestFit="1" customWidth="1"/>
  </cols>
  <sheetData>
    <row r="1" spans="1:15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s="4" t="s">
        <v>19</v>
      </c>
      <c r="F2" t="s">
        <v>20</v>
      </c>
      <c r="G2">
        <v>4</v>
      </c>
      <c r="H2">
        <v>5</v>
      </c>
      <c r="I2">
        <f>G2*H2</f>
        <v>20</v>
      </c>
      <c r="J2" t="s">
        <v>21</v>
      </c>
      <c r="K2">
        <v>20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5">
      <c r="A3" t="s">
        <v>26</v>
      </c>
      <c r="B3" t="s">
        <v>27</v>
      </c>
      <c r="C3" t="s">
        <v>28</v>
      </c>
      <c r="D3" t="s">
        <v>29</v>
      </c>
      <c r="E3" s="4" t="s">
        <v>30</v>
      </c>
      <c r="F3" t="s">
        <v>20</v>
      </c>
      <c r="G3">
        <v>4</v>
      </c>
      <c r="H3">
        <v>5</v>
      </c>
      <c r="I3">
        <f t="shared" ref="I3:I22" si="0">G3*H3</f>
        <v>20</v>
      </c>
      <c r="J3" t="s">
        <v>31</v>
      </c>
      <c r="K3">
        <v>20</v>
      </c>
      <c r="L3" t="s">
        <v>32</v>
      </c>
      <c r="M3" t="s">
        <v>33</v>
      </c>
      <c r="N3" t="s">
        <v>34</v>
      </c>
      <c r="O3" t="s">
        <v>25</v>
      </c>
    </row>
    <row r="4" spans="1:15" x14ac:dyDescent="0.25">
      <c r="A4" t="s">
        <v>35</v>
      </c>
      <c r="B4" t="s">
        <v>36</v>
      </c>
      <c r="C4" t="s">
        <v>37</v>
      </c>
      <c r="D4" t="s">
        <v>38</v>
      </c>
      <c r="E4" s="4" t="s">
        <v>39</v>
      </c>
      <c r="F4" t="s">
        <v>40</v>
      </c>
      <c r="G4">
        <v>3</v>
      </c>
      <c r="H4">
        <v>5</v>
      </c>
      <c r="I4">
        <f t="shared" si="0"/>
        <v>15</v>
      </c>
      <c r="J4" t="s">
        <v>41</v>
      </c>
      <c r="K4">
        <v>15</v>
      </c>
      <c r="L4" t="s">
        <v>42</v>
      </c>
      <c r="M4" t="s">
        <v>43</v>
      </c>
      <c r="N4" t="s">
        <v>44</v>
      </c>
      <c r="O4" t="s">
        <v>25</v>
      </c>
    </row>
    <row r="5" spans="1:15" x14ac:dyDescent="0.25">
      <c r="A5" t="s">
        <v>45</v>
      </c>
      <c r="B5" t="s">
        <v>46</v>
      </c>
      <c r="C5" t="s">
        <v>47</v>
      </c>
      <c r="D5" t="s">
        <v>48</v>
      </c>
      <c r="E5" s="4" t="s">
        <v>49</v>
      </c>
      <c r="F5" t="s">
        <v>40</v>
      </c>
      <c r="G5">
        <v>4</v>
      </c>
      <c r="H5">
        <v>4</v>
      </c>
      <c r="I5">
        <f t="shared" si="0"/>
        <v>16</v>
      </c>
      <c r="J5" t="s">
        <v>50</v>
      </c>
      <c r="K5">
        <v>16</v>
      </c>
      <c r="L5" t="s">
        <v>51</v>
      </c>
      <c r="M5" t="s">
        <v>52</v>
      </c>
      <c r="N5" t="s">
        <v>53</v>
      </c>
      <c r="O5" t="s">
        <v>25</v>
      </c>
    </row>
    <row r="6" spans="1:15" x14ac:dyDescent="0.25">
      <c r="A6" t="s">
        <v>54</v>
      </c>
      <c r="B6" t="s">
        <v>55</v>
      </c>
      <c r="C6" t="s">
        <v>56</v>
      </c>
      <c r="D6" t="s">
        <v>57</v>
      </c>
      <c r="E6" s="4" t="s">
        <v>58</v>
      </c>
      <c r="F6" t="s">
        <v>20</v>
      </c>
      <c r="G6">
        <v>4</v>
      </c>
      <c r="H6">
        <v>5</v>
      </c>
      <c r="I6">
        <f t="shared" si="0"/>
        <v>20</v>
      </c>
      <c r="J6" t="s">
        <v>59</v>
      </c>
      <c r="K6">
        <v>20</v>
      </c>
      <c r="L6" t="s">
        <v>60</v>
      </c>
      <c r="M6" t="s">
        <v>61</v>
      </c>
      <c r="N6" t="s">
        <v>62</v>
      </c>
      <c r="O6" t="s">
        <v>25</v>
      </c>
    </row>
    <row r="7" spans="1:15" x14ac:dyDescent="0.25">
      <c r="A7" t="s">
        <v>63</v>
      </c>
      <c r="B7" t="s">
        <v>64</v>
      </c>
      <c r="C7" t="s">
        <v>65</v>
      </c>
      <c r="D7" t="s">
        <v>66</v>
      </c>
      <c r="E7" s="4" t="s">
        <v>67</v>
      </c>
      <c r="F7" t="s">
        <v>20</v>
      </c>
      <c r="G7">
        <v>4</v>
      </c>
      <c r="H7">
        <v>4</v>
      </c>
      <c r="I7">
        <f t="shared" si="0"/>
        <v>16</v>
      </c>
      <c r="J7" t="s">
        <v>68</v>
      </c>
      <c r="K7">
        <v>16</v>
      </c>
      <c r="L7" t="s">
        <v>69</v>
      </c>
      <c r="M7" t="s">
        <v>70</v>
      </c>
      <c r="N7" t="s">
        <v>71</v>
      </c>
      <c r="O7" t="s">
        <v>25</v>
      </c>
    </row>
    <row r="8" spans="1:15" x14ac:dyDescent="0.25">
      <c r="A8" t="s">
        <v>72</v>
      </c>
      <c r="B8" t="s">
        <v>73</v>
      </c>
      <c r="C8" t="s">
        <v>74</v>
      </c>
      <c r="D8" t="s">
        <v>75</v>
      </c>
      <c r="E8" s="4" t="s">
        <v>76</v>
      </c>
      <c r="F8" t="s">
        <v>77</v>
      </c>
      <c r="G8">
        <v>4</v>
      </c>
      <c r="H8">
        <v>4</v>
      </c>
      <c r="I8">
        <f t="shared" si="0"/>
        <v>16</v>
      </c>
      <c r="J8" t="s">
        <v>78</v>
      </c>
      <c r="K8">
        <v>16</v>
      </c>
      <c r="L8" t="s">
        <v>79</v>
      </c>
      <c r="M8" t="s">
        <v>80</v>
      </c>
      <c r="N8" t="s">
        <v>81</v>
      </c>
      <c r="O8" t="s">
        <v>25</v>
      </c>
    </row>
    <row r="9" spans="1:15" x14ac:dyDescent="0.25">
      <c r="A9" t="s">
        <v>82</v>
      </c>
      <c r="B9" t="s">
        <v>83</v>
      </c>
      <c r="C9" t="s">
        <v>84</v>
      </c>
      <c r="D9" t="s">
        <v>85</v>
      </c>
      <c r="E9" s="4" t="s">
        <v>86</v>
      </c>
      <c r="F9" t="s">
        <v>20</v>
      </c>
      <c r="G9">
        <v>4</v>
      </c>
      <c r="H9">
        <v>5</v>
      </c>
      <c r="I9">
        <f t="shared" si="0"/>
        <v>20</v>
      </c>
      <c r="J9" t="s">
        <v>87</v>
      </c>
      <c r="K9">
        <v>20</v>
      </c>
      <c r="L9" t="s">
        <v>88</v>
      </c>
      <c r="M9" t="s">
        <v>89</v>
      </c>
      <c r="N9" t="s">
        <v>90</v>
      </c>
      <c r="O9" t="s">
        <v>25</v>
      </c>
    </row>
    <row r="10" spans="1:15" x14ac:dyDescent="0.25">
      <c r="A10" t="s">
        <v>91</v>
      </c>
      <c r="B10" t="s">
        <v>92</v>
      </c>
      <c r="C10" t="s">
        <v>93</v>
      </c>
      <c r="D10" t="s">
        <v>94</v>
      </c>
      <c r="E10" s="4" t="s">
        <v>95</v>
      </c>
      <c r="F10" t="s">
        <v>40</v>
      </c>
      <c r="G10">
        <v>4</v>
      </c>
      <c r="H10">
        <v>5</v>
      </c>
      <c r="I10">
        <f t="shared" si="0"/>
        <v>20</v>
      </c>
      <c r="J10" t="s">
        <v>96</v>
      </c>
      <c r="K10">
        <v>20</v>
      </c>
      <c r="L10" t="s">
        <v>69</v>
      </c>
      <c r="M10" t="s">
        <v>97</v>
      </c>
      <c r="N10" t="s">
        <v>98</v>
      </c>
      <c r="O10" t="s">
        <v>25</v>
      </c>
    </row>
    <row r="11" spans="1:15" x14ac:dyDescent="0.25">
      <c r="A11" t="s">
        <v>99</v>
      </c>
      <c r="B11" t="s">
        <v>100</v>
      </c>
      <c r="C11" t="s">
        <v>101</v>
      </c>
      <c r="D11" t="s">
        <v>102</v>
      </c>
      <c r="E11" s="4" t="s">
        <v>103</v>
      </c>
      <c r="F11" t="s">
        <v>20</v>
      </c>
      <c r="G11">
        <v>4</v>
      </c>
      <c r="H11">
        <v>5</v>
      </c>
      <c r="I11">
        <f t="shared" si="0"/>
        <v>20</v>
      </c>
      <c r="J11" t="s">
        <v>104</v>
      </c>
      <c r="K11">
        <v>20</v>
      </c>
      <c r="L11" t="s">
        <v>105</v>
      </c>
      <c r="M11" t="s">
        <v>106</v>
      </c>
      <c r="N11" t="s">
        <v>107</v>
      </c>
      <c r="O11" t="s">
        <v>25</v>
      </c>
    </row>
    <row r="12" spans="1:15" x14ac:dyDescent="0.25">
      <c r="A12" t="s">
        <v>108</v>
      </c>
      <c r="B12" t="s">
        <v>109</v>
      </c>
      <c r="C12" t="s">
        <v>110</v>
      </c>
      <c r="D12" t="s">
        <v>111</v>
      </c>
      <c r="E12" s="4" t="s">
        <v>112</v>
      </c>
      <c r="F12" t="s">
        <v>40</v>
      </c>
      <c r="G12">
        <v>4</v>
      </c>
      <c r="H12">
        <v>5</v>
      </c>
      <c r="I12">
        <f t="shared" si="0"/>
        <v>20</v>
      </c>
      <c r="J12" t="s">
        <v>113</v>
      </c>
      <c r="K12">
        <v>20</v>
      </c>
      <c r="L12" t="s">
        <v>114</v>
      </c>
      <c r="M12" t="s">
        <v>115</v>
      </c>
      <c r="N12" t="s">
        <v>116</v>
      </c>
      <c r="O12" t="s">
        <v>25</v>
      </c>
    </row>
    <row r="13" spans="1:15" x14ac:dyDescent="0.25">
      <c r="A13" t="s">
        <v>117</v>
      </c>
      <c r="B13" t="s">
        <v>118</v>
      </c>
      <c r="C13" t="s">
        <v>119</v>
      </c>
      <c r="D13" t="s">
        <v>120</v>
      </c>
      <c r="E13" s="4" t="s">
        <v>121</v>
      </c>
      <c r="F13" t="s">
        <v>77</v>
      </c>
      <c r="G13">
        <v>3</v>
      </c>
      <c r="H13">
        <v>5</v>
      </c>
      <c r="I13">
        <f t="shared" si="0"/>
        <v>15</v>
      </c>
      <c r="J13" t="s">
        <v>122</v>
      </c>
      <c r="K13">
        <v>15</v>
      </c>
      <c r="L13" t="s">
        <v>88</v>
      </c>
      <c r="M13" t="s">
        <v>123</v>
      </c>
      <c r="N13" t="s">
        <v>124</v>
      </c>
      <c r="O13" t="s">
        <v>25</v>
      </c>
    </row>
    <row r="14" spans="1:15" x14ac:dyDescent="0.25">
      <c r="A14" t="s">
        <v>125</v>
      </c>
      <c r="B14" t="s">
        <v>126</v>
      </c>
      <c r="C14" t="s">
        <v>127</v>
      </c>
      <c r="D14" t="s">
        <v>128</v>
      </c>
      <c r="E14" s="4" t="s">
        <v>129</v>
      </c>
      <c r="F14" t="s">
        <v>20</v>
      </c>
      <c r="G14">
        <v>4</v>
      </c>
      <c r="H14">
        <v>5</v>
      </c>
      <c r="I14">
        <f t="shared" si="0"/>
        <v>20</v>
      </c>
      <c r="J14" t="s">
        <v>130</v>
      </c>
      <c r="K14">
        <v>20</v>
      </c>
      <c r="L14" t="s">
        <v>51</v>
      </c>
      <c r="M14" t="s">
        <v>131</v>
      </c>
      <c r="N14" t="s">
        <v>132</v>
      </c>
      <c r="O14" t="s">
        <v>25</v>
      </c>
    </row>
    <row r="15" spans="1:15" x14ac:dyDescent="0.25">
      <c r="A15" t="s">
        <v>133</v>
      </c>
      <c r="B15" t="s">
        <v>134</v>
      </c>
      <c r="C15" t="s">
        <v>135</v>
      </c>
      <c r="D15" t="s">
        <v>136</v>
      </c>
      <c r="E15" s="4" t="s">
        <v>137</v>
      </c>
      <c r="F15" t="s">
        <v>20</v>
      </c>
      <c r="G15">
        <v>4</v>
      </c>
      <c r="H15">
        <v>5</v>
      </c>
      <c r="I15">
        <f t="shared" si="0"/>
        <v>20</v>
      </c>
      <c r="J15" t="s">
        <v>138</v>
      </c>
      <c r="K15">
        <v>20</v>
      </c>
      <c r="L15" t="s">
        <v>139</v>
      </c>
      <c r="M15" t="s">
        <v>140</v>
      </c>
      <c r="N15" t="s">
        <v>90</v>
      </c>
      <c r="O15" t="s">
        <v>25</v>
      </c>
    </row>
    <row r="16" spans="1:15" x14ac:dyDescent="0.25">
      <c r="A16" t="s">
        <v>141</v>
      </c>
      <c r="B16" t="s">
        <v>142</v>
      </c>
      <c r="C16" t="s">
        <v>143</v>
      </c>
      <c r="D16" t="s">
        <v>144</v>
      </c>
      <c r="E16" s="4" t="s">
        <v>145</v>
      </c>
      <c r="F16" t="s">
        <v>77</v>
      </c>
      <c r="G16">
        <v>3</v>
      </c>
      <c r="H16">
        <v>5</v>
      </c>
      <c r="I16">
        <f t="shared" si="0"/>
        <v>15</v>
      </c>
      <c r="J16" t="s">
        <v>146</v>
      </c>
      <c r="K16">
        <v>15</v>
      </c>
      <c r="L16" t="s">
        <v>147</v>
      </c>
      <c r="M16" t="s">
        <v>148</v>
      </c>
      <c r="N16" t="s">
        <v>81</v>
      </c>
      <c r="O16" t="s">
        <v>25</v>
      </c>
    </row>
    <row r="17" spans="1:15" x14ac:dyDescent="0.25">
      <c r="A17" t="s">
        <v>149</v>
      </c>
      <c r="B17" t="s">
        <v>150</v>
      </c>
      <c r="C17" t="s">
        <v>151</v>
      </c>
      <c r="D17" t="s">
        <v>152</v>
      </c>
      <c r="E17" s="4" t="s">
        <v>153</v>
      </c>
      <c r="F17" t="s">
        <v>40</v>
      </c>
      <c r="G17">
        <v>4</v>
      </c>
      <c r="H17">
        <v>5</v>
      </c>
      <c r="I17">
        <f t="shared" si="0"/>
        <v>20</v>
      </c>
      <c r="J17" t="s">
        <v>154</v>
      </c>
      <c r="K17">
        <v>20</v>
      </c>
      <c r="L17" t="s">
        <v>155</v>
      </c>
      <c r="M17" t="s">
        <v>156</v>
      </c>
      <c r="N17" t="s">
        <v>157</v>
      </c>
      <c r="O17" t="s">
        <v>25</v>
      </c>
    </row>
    <row r="18" spans="1:15" x14ac:dyDescent="0.25">
      <c r="A18" t="s">
        <v>158</v>
      </c>
      <c r="B18" t="s">
        <v>159</v>
      </c>
      <c r="C18" t="s">
        <v>160</v>
      </c>
      <c r="D18" t="s">
        <v>161</v>
      </c>
      <c r="E18" s="4" t="s">
        <v>162</v>
      </c>
      <c r="F18" t="s">
        <v>77</v>
      </c>
      <c r="G18">
        <v>4</v>
      </c>
      <c r="H18">
        <v>4</v>
      </c>
      <c r="I18">
        <f t="shared" si="0"/>
        <v>16</v>
      </c>
      <c r="J18" t="s">
        <v>163</v>
      </c>
      <c r="K18">
        <v>16</v>
      </c>
      <c r="L18" t="s">
        <v>79</v>
      </c>
      <c r="M18" t="s">
        <v>164</v>
      </c>
      <c r="N18" t="s">
        <v>165</v>
      </c>
      <c r="O18" t="s">
        <v>25</v>
      </c>
    </row>
    <row r="19" spans="1:15" x14ac:dyDescent="0.25">
      <c r="A19" t="s">
        <v>166</v>
      </c>
      <c r="B19" t="s">
        <v>167</v>
      </c>
      <c r="C19" t="s">
        <v>168</v>
      </c>
      <c r="D19" t="s">
        <v>169</v>
      </c>
      <c r="E19" s="4" t="s">
        <v>170</v>
      </c>
      <c r="F19" t="s">
        <v>40</v>
      </c>
      <c r="G19">
        <v>3</v>
      </c>
      <c r="H19">
        <v>4</v>
      </c>
      <c r="I19">
        <f t="shared" si="0"/>
        <v>12</v>
      </c>
      <c r="J19" t="s">
        <v>171</v>
      </c>
      <c r="K19">
        <v>12</v>
      </c>
      <c r="L19" t="s">
        <v>172</v>
      </c>
      <c r="M19" t="s">
        <v>173</v>
      </c>
      <c r="N19" t="s">
        <v>174</v>
      </c>
      <c r="O19" t="s">
        <v>25</v>
      </c>
    </row>
    <row r="20" spans="1:15" x14ac:dyDescent="0.25">
      <c r="A20" t="s">
        <v>175</v>
      </c>
      <c r="B20" t="s">
        <v>176</v>
      </c>
      <c r="C20" t="s">
        <v>177</v>
      </c>
      <c r="D20" t="s">
        <v>178</v>
      </c>
      <c r="E20" s="4" t="s">
        <v>179</v>
      </c>
      <c r="F20" t="s">
        <v>20</v>
      </c>
      <c r="G20">
        <v>4</v>
      </c>
      <c r="H20">
        <v>3</v>
      </c>
      <c r="I20">
        <f t="shared" si="0"/>
        <v>12</v>
      </c>
      <c r="J20" t="s">
        <v>180</v>
      </c>
      <c r="K20">
        <v>12</v>
      </c>
      <c r="L20" t="s">
        <v>88</v>
      </c>
      <c r="M20" t="s">
        <v>181</v>
      </c>
      <c r="N20" t="s">
        <v>182</v>
      </c>
      <c r="O20" t="s">
        <v>25</v>
      </c>
    </row>
    <row r="21" spans="1:15" x14ac:dyDescent="0.25">
      <c r="A21" t="s">
        <v>183</v>
      </c>
      <c r="B21" t="s">
        <v>184</v>
      </c>
      <c r="C21" t="s">
        <v>185</v>
      </c>
      <c r="D21" t="s">
        <v>186</v>
      </c>
      <c r="E21" s="4" t="s">
        <v>187</v>
      </c>
      <c r="F21" t="s">
        <v>40</v>
      </c>
      <c r="G21">
        <v>3</v>
      </c>
      <c r="H21">
        <v>3</v>
      </c>
      <c r="I21">
        <f t="shared" si="0"/>
        <v>9</v>
      </c>
      <c r="J21" t="s">
        <v>188</v>
      </c>
      <c r="K21">
        <v>9</v>
      </c>
      <c r="L21" t="s">
        <v>172</v>
      </c>
      <c r="M21" t="s">
        <v>189</v>
      </c>
      <c r="N21" t="s">
        <v>190</v>
      </c>
      <c r="O21" t="s">
        <v>25</v>
      </c>
    </row>
  </sheetData>
  <conditionalFormatting sqref="I1:I1048576">
    <cfRule type="cellIs" dxfId="4" priority="1" operator="between">
      <formula>5</formula>
      <formula>9</formula>
    </cfRule>
    <cfRule type="cellIs" dxfId="3" priority="2" operator="between">
      <formula>17</formula>
      <formula>25</formula>
    </cfRule>
    <cfRule type="cellIs" dxfId="2" priority="3" operator="between">
      <formula>10</formula>
      <formula>16</formula>
    </cfRule>
    <cfRule type="cellIs" dxfId="1" priority="4" operator="between">
      <formula>17</formula>
      <formula>25</formula>
    </cfRule>
    <cfRule type="cellIs" dxfId="0" priority="5" operator="between">
      <formula>1</formula>
      <formula>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6997-E4A4-4ABD-98A0-EBF5799D83AE}">
  <dimension ref="A1:F17"/>
  <sheetViews>
    <sheetView workbookViewId="0">
      <selection activeCell="L9" sqref="L9"/>
    </sheetView>
  </sheetViews>
  <sheetFormatPr defaultRowHeight="15" x14ac:dyDescent="0.25"/>
  <cols>
    <col min="1" max="1" width="12.42578125" customWidth="1"/>
    <col min="2" max="2" width="14" bestFit="1" customWidth="1"/>
    <col min="3" max="3" width="13.140625" customWidth="1"/>
    <col min="4" max="4" width="12.5703125" customWidth="1"/>
  </cols>
  <sheetData>
    <row r="1" spans="1:6" s="1" customFormat="1" x14ac:dyDescent="0.25">
      <c r="A1" s="1" t="s">
        <v>191</v>
      </c>
      <c r="B1" s="1" t="s">
        <v>6</v>
      </c>
      <c r="C1" s="1" t="s">
        <v>7</v>
      </c>
      <c r="D1" s="1" t="s">
        <v>192</v>
      </c>
    </row>
    <row r="2" spans="1:6" x14ac:dyDescent="0.25">
      <c r="A2" s="5">
        <v>1</v>
      </c>
      <c r="B2" t="s">
        <v>193</v>
      </c>
      <c r="C2" t="s">
        <v>194</v>
      </c>
      <c r="D2" t="s">
        <v>195</v>
      </c>
    </row>
    <row r="3" spans="1:6" x14ac:dyDescent="0.25">
      <c r="A3" s="5">
        <v>2</v>
      </c>
      <c r="B3" t="s">
        <v>196</v>
      </c>
      <c r="C3" t="s">
        <v>197</v>
      </c>
      <c r="D3" t="s">
        <v>195</v>
      </c>
    </row>
    <row r="4" spans="1:6" x14ac:dyDescent="0.25">
      <c r="A4" s="5">
        <v>3</v>
      </c>
      <c r="B4" t="s">
        <v>198</v>
      </c>
      <c r="C4" t="s">
        <v>199</v>
      </c>
      <c r="D4" t="s">
        <v>195</v>
      </c>
    </row>
    <row r="5" spans="1:6" x14ac:dyDescent="0.25">
      <c r="A5" s="5">
        <v>4</v>
      </c>
      <c r="B5" t="s">
        <v>200</v>
      </c>
      <c r="C5" t="s">
        <v>201</v>
      </c>
      <c r="D5" t="s">
        <v>195</v>
      </c>
    </row>
    <row r="6" spans="1:6" x14ac:dyDescent="0.25">
      <c r="A6" s="5">
        <v>5</v>
      </c>
      <c r="B6" t="s">
        <v>202</v>
      </c>
      <c r="C6" t="s">
        <v>203</v>
      </c>
      <c r="D6" t="s">
        <v>199</v>
      </c>
    </row>
    <row r="7" spans="1:6" x14ac:dyDescent="0.25">
      <c r="A7" s="5" t="s">
        <v>204</v>
      </c>
      <c r="B7" t="s">
        <v>205</v>
      </c>
      <c r="C7" t="s">
        <v>205</v>
      </c>
      <c r="D7" t="s">
        <v>199</v>
      </c>
    </row>
    <row r="8" spans="1:6" x14ac:dyDescent="0.25">
      <c r="A8" s="5" t="s">
        <v>206</v>
      </c>
      <c r="B8" t="s">
        <v>205</v>
      </c>
      <c r="C8" t="s">
        <v>205</v>
      </c>
      <c r="D8" t="s">
        <v>207</v>
      </c>
    </row>
    <row r="9" spans="1:6" x14ac:dyDescent="0.25">
      <c r="A9" s="5" t="s">
        <v>208</v>
      </c>
      <c r="B9" t="s">
        <v>205</v>
      </c>
      <c r="C9" t="s">
        <v>205</v>
      </c>
      <c r="D9" t="s">
        <v>209</v>
      </c>
    </row>
    <row r="11" spans="1:6" x14ac:dyDescent="0.25">
      <c r="A11" s="6" t="s">
        <v>210</v>
      </c>
      <c r="B11" s="6"/>
      <c r="C11" s="6"/>
      <c r="D11" s="6"/>
      <c r="E11" s="6"/>
      <c r="F11" s="6"/>
    </row>
    <row r="12" spans="1:6" x14ac:dyDescent="0.25">
      <c r="A12" s="6"/>
      <c r="B12" s="6"/>
      <c r="C12" s="6"/>
      <c r="D12" s="6"/>
      <c r="E12" s="6"/>
      <c r="F12" s="6"/>
    </row>
    <row r="13" spans="1:6" x14ac:dyDescent="0.25">
      <c r="A13" s="6" t="s">
        <v>211</v>
      </c>
      <c r="B13" s="6"/>
      <c r="C13" s="6"/>
      <c r="D13" s="6"/>
      <c r="E13" s="6"/>
      <c r="F13" s="6"/>
    </row>
    <row r="14" spans="1:6" x14ac:dyDescent="0.25">
      <c r="A14" s="6"/>
      <c r="B14" s="6"/>
      <c r="C14" s="6"/>
      <c r="D14" s="6"/>
      <c r="E14" s="6"/>
      <c r="F14" s="6"/>
    </row>
    <row r="15" spans="1:6" x14ac:dyDescent="0.25">
      <c r="A15" s="6" t="s">
        <v>212</v>
      </c>
      <c r="B15" s="6"/>
      <c r="C15" s="6"/>
      <c r="D15" s="6"/>
      <c r="E15" s="6"/>
      <c r="F15" s="6"/>
    </row>
    <row r="16" spans="1:6" x14ac:dyDescent="0.25">
      <c r="A16" s="6"/>
      <c r="B16" s="6"/>
      <c r="C16" s="6"/>
      <c r="D16" s="6"/>
      <c r="E16" s="6"/>
      <c r="F16" s="6"/>
    </row>
    <row r="17" spans="1:6" x14ac:dyDescent="0.25">
      <c r="A17" s="6" t="s">
        <v>213</v>
      </c>
      <c r="B17" s="6"/>
      <c r="C17" s="6"/>
      <c r="D17" s="6"/>
      <c r="E17" s="6"/>
      <c r="F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Scoring Guide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Attah Melford</dc:creator>
  <cp:lastModifiedBy>Attah Melford</cp:lastModifiedBy>
  <dcterms:created xsi:type="dcterms:W3CDTF">2026-10-19T11:29:41Z</dcterms:created>
  <dcterms:modified xsi:type="dcterms:W3CDTF">2026-10-19T13:17:24Z</dcterms:modified>
</cp:coreProperties>
</file>